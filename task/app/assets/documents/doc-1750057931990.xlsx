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30240" windowHeight="12700"/>
  </bookViews>
  <sheets>
    <sheet name="graphic" sheetId="9" r:id="rId1"/>
    <sheet name="cash flow " sheetId="10" r:id="rId2"/>
    <sheet name="labor " sheetId="11" r:id="rId3"/>
    <sheet name="Sheet1" sheetId="1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<sst xmlns="http://schemas.openxmlformats.org/spreadsheetml/2006/main" count="121" uniqueCount="86">
  <si>
    <t xml:space="preserve">Батлав: Гүйцэтгэх захирал </t>
  </si>
  <si>
    <t>Б.Ганбат</t>
  </si>
  <si>
    <t>Сэргэлэн дэд станцын авто замын ажил гүйцэтгэх хуваарь</t>
  </si>
  <si>
    <t>"ҮЛЭМЖИЙН ЗАМ" ХХК</t>
  </si>
  <si>
    <t>№</t>
  </si>
  <si>
    <t>Ажлын нэр</t>
  </si>
  <si>
    <t>Хэмжих нэгж</t>
  </si>
  <si>
    <t>Тоо хэмжээ</t>
  </si>
  <si>
    <t>Ажил гүйцэтгэх хугацаа</t>
  </si>
  <si>
    <t>6-р сар</t>
  </si>
  <si>
    <t>7-р сар</t>
  </si>
  <si>
    <t xml:space="preserve">АВТО ЗАМЫН АЖИЛ </t>
  </si>
  <si>
    <t>Замын хашлага байрлуулах (1.0 x 0.3 x 0.15 м)</t>
  </si>
  <si>
    <t>1 м2</t>
  </si>
  <si>
    <t>Цементбетон хольцоор зам, талбайг гараар хийх</t>
  </si>
  <si>
    <t>1 м3</t>
  </si>
  <si>
    <t>Хайрган хөвөө гараар байгуулах (Хучлага хийсний дараах асгамал хөвөө)</t>
  </si>
  <si>
    <t>Далан ба ухмалын хажуу налуу экскаватораар тэгшлэх</t>
  </si>
  <si>
    <t xml:space="preserve">Эко хавтан байрлуулах </t>
  </si>
  <si>
    <t>1м2</t>
  </si>
  <si>
    <t>Далангийн налууд торон бэхэлгээ хийх</t>
  </si>
  <si>
    <t xml:space="preserve">График гаргасан: Инженер                                                           Д.Дашням </t>
  </si>
  <si>
    <t>Сэргэлэн дэд станцын авто замын ажлын санхүүжилтын хуваарь</t>
  </si>
  <si>
    <t>Зардлын төрөл</t>
  </si>
  <si>
    <t xml:space="preserve">Тоо хэмжээ </t>
  </si>
  <si>
    <t xml:space="preserve">Нэгж үнэ </t>
  </si>
  <si>
    <t>Үнийн дүн ₮</t>
  </si>
  <si>
    <t>Урьдчилгаа төлбөр 30 %</t>
  </si>
  <si>
    <t>Гүйцэтгэл 1</t>
  </si>
  <si>
    <t>Гүйцэтгэл 2</t>
  </si>
  <si>
    <t>Үнийн дүн</t>
  </si>
  <si>
    <t>Санхүүжилт авах хугацаа</t>
  </si>
  <si>
    <t>Гүйцэтгэлийн хувь, %</t>
  </si>
  <si>
    <t>Гүйцэтгэл гаргах хугацаа</t>
  </si>
  <si>
    <t>Нийт гэрээний дүн</t>
  </si>
  <si>
    <t>Далангийн ул хөрс тэгшлэх, нягтруулах</t>
  </si>
  <si>
    <t>Хайрган суурь үе байгуулах</t>
  </si>
  <si>
    <t>Далангийн налууд чулуун бэхэлгээ хийх</t>
  </si>
  <si>
    <t>Нийт дүн</t>
  </si>
  <si>
    <t xml:space="preserve">Хувиар гаргасан: Инженер                                                               Д.Дашням </t>
  </si>
  <si>
    <t xml:space="preserve">Сэргэлэн дэд станцын авто замын ажилд ажлуулахаар санал болгож буй ажилтнуудын мэдээлэл </t>
  </si>
  <si>
    <t xml:space="preserve">"Үлэмжийн зам" ХХК </t>
  </si>
  <si>
    <t xml:space="preserve">Албан тушаал </t>
  </si>
  <si>
    <t xml:space="preserve">Овог нэр </t>
  </si>
  <si>
    <t xml:space="preserve">Ажлын туршлага /жил/ </t>
  </si>
  <si>
    <t xml:space="preserve">Мэргэжил </t>
  </si>
  <si>
    <t xml:space="preserve">Ерөнхий инженер </t>
  </si>
  <si>
    <t xml:space="preserve">Д.Дашням </t>
  </si>
  <si>
    <t xml:space="preserve">Авто замын инженер </t>
  </si>
  <si>
    <t xml:space="preserve">Талбайн инженер </t>
  </si>
  <si>
    <t xml:space="preserve">Б.Золжаргал </t>
  </si>
  <si>
    <t xml:space="preserve">Материалын инженер </t>
  </si>
  <si>
    <t xml:space="preserve">Г.Соёмбосүндэр </t>
  </si>
  <si>
    <t>Талбайн даамал</t>
  </si>
  <si>
    <t xml:space="preserve">Б.Дорждэрэм </t>
  </si>
  <si>
    <t xml:space="preserve">Авто замын техникч </t>
  </si>
  <si>
    <t>Оператор /Грейдер/</t>
  </si>
  <si>
    <t xml:space="preserve">Д.Батдорж </t>
  </si>
  <si>
    <t xml:space="preserve">М ангилал /Оператор/ </t>
  </si>
  <si>
    <t>Оператор /Индүү/</t>
  </si>
  <si>
    <t xml:space="preserve">А.Энхбааатар </t>
  </si>
  <si>
    <t xml:space="preserve">Оператор /Авто ачигч/ </t>
  </si>
  <si>
    <t xml:space="preserve">О.Чойжамц </t>
  </si>
  <si>
    <t xml:space="preserve">Оператор /Экскаватор/ </t>
  </si>
  <si>
    <t xml:space="preserve">Б.Сундуй мөнх </t>
  </si>
  <si>
    <t xml:space="preserve">Жолооч /Өөрөө буулгагч/ </t>
  </si>
  <si>
    <t>А.Өмөрбек</t>
  </si>
  <si>
    <t xml:space="preserve">Мэргэшсэн жолооч </t>
  </si>
  <si>
    <t xml:space="preserve">Ц.Жаргалсайхан </t>
  </si>
  <si>
    <t xml:space="preserve">Жолооч /Усны машин/ </t>
  </si>
  <si>
    <t xml:space="preserve">Д.Дэлгэрсайхан </t>
  </si>
  <si>
    <t xml:space="preserve">Туслах ажилтан </t>
  </si>
  <si>
    <t xml:space="preserve">Э.Болор-сайхан </t>
  </si>
  <si>
    <t xml:space="preserve">Замчин </t>
  </si>
  <si>
    <t>М.Тэмүүжин</t>
  </si>
  <si>
    <t>Т.Насандэлгэр</t>
  </si>
  <si>
    <t>О.Мөнх-Эрдэнэ</t>
  </si>
  <si>
    <t>И.Оюун-Эрдэнэ</t>
  </si>
  <si>
    <t>Хавсралт № 1</t>
  </si>
  <si>
    <t xml:space="preserve">Сэргэлэн дэд станцын авто замын ажлын тоо хэмжээ </t>
  </si>
  <si>
    <t>1 м</t>
  </si>
  <si>
    <t xml:space="preserve">БАТЛАВ:                                                                 </t>
  </si>
  <si>
    <t>БАТЛАВ:</t>
  </si>
  <si>
    <r>
      <rPr>
        <sz val="11"/>
        <color theme="1"/>
        <rFont val="Arial"/>
        <charset val="134"/>
      </rPr>
      <t xml:space="preserve">“ҮЛЭМЖИЙН ЗАМ” ХХК </t>
    </r>
    <r>
      <rPr>
        <sz val="10"/>
        <color theme="1"/>
        <rFont val="Arial"/>
        <charset val="134"/>
      </rPr>
      <t xml:space="preserve">                                      </t>
    </r>
  </si>
  <si>
    <r>
      <rPr>
        <sz val="11"/>
        <color theme="1"/>
        <rFont val="Arial"/>
        <charset val="134"/>
      </rPr>
      <t>ЗАХИРАЛ</t>
    </r>
    <r>
      <rPr>
        <sz val="10"/>
        <color theme="1"/>
        <rFont val="Arial"/>
        <charset val="134"/>
      </rPr>
      <t xml:space="preserve">                        </t>
    </r>
    <r>
      <rPr>
        <sz val="11"/>
        <color theme="1"/>
        <rFont val="Arial"/>
        <charset val="134"/>
      </rPr>
      <t xml:space="preserve">    Б.ГАНБАТ               </t>
    </r>
  </si>
  <si>
    <t xml:space="preserve">ИРГЭН                                 Б.ДОРЖДЭРЭМ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</si>
</sst>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176" formatCode="_(* #,##0.00_);_(* \(#,##0.00\);_(* &quot;-&quot;??_);_(@_)"/>
    <numFmt numFmtId="177" formatCode="_(* #,##0_);_(* \(#,##0\);_(* &quot;-&quot;??_);_(@_)"/>
    <numFmt numFmtId="178" formatCode="#,###"/>
    <numFmt numFmtId="179" formatCode="0.0%"/>
  </numFmts>
  <fonts count="3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Times New Roman"/>
      <charset val="134"/>
    </font>
    <font>
      <b/>
      <sz val="10"/>
      <color theme="1"/>
      <name val="Times New Roman"/>
      <charset val="134"/>
    </font>
    <font>
      <sz val="11"/>
      <color theme="1"/>
      <name val="Arial"/>
      <charset val="134"/>
    </font>
    <font>
      <b/>
      <sz val="16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name val="Arial"/>
      <charset val="134"/>
    </font>
    <font>
      <b/>
      <sz val="11"/>
      <name val="Times New Roman"/>
      <charset val="134"/>
    </font>
    <font>
      <sz val="12"/>
      <color theme="1"/>
      <name val="Times New Roman"/>
      <charset val="134"/>
    </font>
    <font>
      <sz val="16"/>
      <color theme="1"/>
      <name val="Times New Roman"/>
      <charset val="134"/>
    </font>
    <font>
      <b/>
      <sz val="18"/>
      <color theme="1"/>
      <name val="Times New Roman"/>
      <charset val="134"/>
    </font>
    <font>
      <b/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14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theme="1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5" borderId="32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33" applyNumberFormat="0" applyFill="0" applyAlignment="0" applyProtection="0">
      <alignment vertical="center"/>
    </xf>
    <xf numFmtId="0" fontId="22" fillId="0" borderId="33" applyNumberFormat="0" applyFill="0" applyAlignment="0" applyProtection="0">
      <alignment vertical="center"/>
    </xf>
    <xf numFmtId="0" fontId="23" fillId="0" borderId="3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35" applyNumberFormat="0" applyAlignment="0" applyProtection="0">
      <alignment vertical="center"/>
    </xf>
    <xf numFmtId="0" fontId="25" fillId="7" borderId="36" applyNumberFormat="0" applyAlignment="0" applyProtection="0">
      <alignment vertical="center"/>
    </xf>
    <xf numFmtId="0" fontId="26" fillId="7" borderId="35" applyNumberFormat="0" applyAlignment="0" applyProtection="0">
      <alignment vertical="center"/>
    </xf>
    <xf numFmtId="0" fontId="27" fillId="8" borderId="37" applyNumberFormat="0" applyAlignment="0" applyProtection="0">
      <alignment vertical="center"/>
    </xf>
    <xf numFmtId="0" fontId="28" fillId="0" borderId="38" applyNumberFormat="0" applyFill="0" applyAlignment="0" applyProtection="0">
      <alignment vertical="center"/>
    </xf>
    <xf numFmtId="0" fontId="29" fillId="0" borderId="39" applyNumberFormat="0" applyFill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</cellStyleXfs>
  <cellXfs count="1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177" fontId="2" fillId="0" borderId="2" xfId="1" applyNumberFormat="1" applyFont="1" applyBorder="1"/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177" fontId="2" fillId="0" borderId="4" xfId="1" applyNumberFormat="1" applyFont="1" applyBorder="1"/>
    <xf numFmtId="0" fontId="2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 wrapText="1"/>
    </xf>
    <xf numFmtId="177" fontId="2" fillId="0" borderId="6" xfId="1" applyNumberFormat="1" applyFont="1" applyBorder="1"/>
    <xf numFmtId="0" fontId="4" fillId="0" borderId="0" xfId="0" applyFont="1" applyAlignment="1">
      <alignment vertical="center"/>
    </xf>
    <xf numFmtId="177" fontId="2" fillId="0" borderId="7" xfId="1" applyNumberFormat="1" applyFont="1" applyBorder="1"/>
    <xf numFmtId="177" fontId="2" fillId="0" borderId="8" xfId="1" applyNumberFormat="1" applyFont="1" applyBorder="1"/>
    <xf numFmtId="177" fontId="2" fillId="0" borderId="9" xfId="1" applyNumberFormat="1" applyFont="1" applyBorder="1"/>
    <xf numFmtId="0" fontId="1" fillId="0" borderId="0" xfId="0" applyFont="1"/>
    <xf numFmtId="0" fontId="1" fillId="0" borderId="0" xfId="0" applyFont="1" applyAlignment="1">
      <alignment horizontal="center" wrapText="1"/>
    </xf>
    <xf numFmtId="0" fontId="1" fillId="0" borderId="4" xfId="0" applyFont="1" applyBorder="1"/>
    <xf numFmtId="0" fontId="1" fillId="0" borderId="4" xfId="0" applyFont="1" applyBorder="1" applyAlignment="1">
      <alignment wrapText="1"/>
    </xf>
    <xf numFmtId="0" fontId="0" fillId="0" borderId="4" xfId="0" applyBorder="1"/>
    <xf numFmtId="0" fontId="5" fillId="0" borderId="0" xfId="0" applyFont="1" applyAlignment="1">
      <alignment horizontal="center"/>
    </xf>
    <xf numFmtId="0" fontId="0" fillId="0" borderId="10" xfId="0" applyBorder="1" applyAlignment="1">
      <alignment horizontal="center"/>
    </xf>
    <xf numFmtId="58" fontId="6" fillId="0" borderId="2" xfId="0" applyNumberFormat="1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58" fontId="6" fillId="0" borderId="4" xfId="0" applyNumberFormat="1" applyFont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7" fillId="0" borderId="4" xfId="0" applyFont="1" applyBorder="1"/>
    <xf numFmtId="0" fontId="0" fillId="0" borderId="3" xfId="0" applyBorder="1"/>
    <xf numFmtId="178" fontId="8" fillId="0" borderId="4" xfId="0" applyNumberFormat="1" applyFont="1" applyBorder="1" applyAlignment="1">
      <alignment vertical="center" wrapText="1"/>
    </xf>
    <xf numFmtId="4" fontId="8" fillId="0" borderId="4" xfId="0" applyNumberFormat="1" applyFont="1" applyBorder="1" applyAlignment="1">
      <alignment vertical="center" wrapText="1"/>
    </xf>
    <xf numFmtId="0" fontId="0" fillId="0" borderId="5" xfId="0" applyBorder="1"/>
    <xf numFmtId="0" fontId="7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177" fontId="7" fillId="0" borderId="8" xfId="0" applyNumberFormat="1" applyFont="1" applyBorder="1" applyAlignment="1">
      <alignment vertical="center" wrapText="1"/>
    </xf>
    <xf numFmtId="177" fontId="6" fillId="0" borderId="14" xfId="1" applyNumberFormat="1" applyFont="1" applyBorder="1" applyAlignment="1">
      <alignment wrapText="1"/>
    </xf>
    <xf numFmtId="58" fontId="9" fillId="0" borderId="8" xfId="0" applyNumberFormat="1" applyFont="1" applyBorder="1" applyAlignment="1">
      <alignment horizontal="center" vertical="center"/>
    </xf>
    <xf numFmtId="0" fontId="6" fillId="0" borderId="14" xfId="0" applyFont="1" applyBorder="1" applyAlignment="1">
      <alignment wrapText="1"/>
    </xf>
    <xf numFmtId="177" fontId="6" fillId="0" borderId="8" xfId="0" applyNumberFormat="1" applyFont="1" applyBorder="1" applyAlignment="1">
      <alignment vertical="center" wrapText="1"/>
    </xf>
    <xf numFmtId="177" fontId="6" fillId="2" borderId="14" xfId="0" applyNumberFormat="1" applyFont="1" applyFill="1" applyBorder="1" applyAlignment="1">
      <alignment wrapText="1"/>
    </xf>
    <xf numFmtId="0" fontId="6" fillId="0" borderId="8" xfId="0" applyFont="1" applyBorder="1" applyAlignment="1">
      <alignment horizontal="left" vertical="center"/>
    </xf>
    <xf numFmtId="177" fontId="6" fillId="0" borderId="14" xfId="0" applyNumberFormat="1" applyFont="1" applyBorder="1" applyAlignment="1">
      <alignment wrapText="1"/>
    </xf>
    <xf numFmtId="0" fontId="6" fillId="2" borderId="14" xfId="0" applyFont="1" applyFill="1" applyBorder="1" applyAlignment="1">
      <alignment wrapText="1"/>
    </xf>
    <xf numFmtId="177" fontId="6" fillId="0" borderId="8" xfId="0" applyNumberFormat="1" applyFont="1" applyBorder="1" applyAlignment="1">
      <alignment horizontal="left" vertical="center"/>
    </xf>
    <xf numFmtId="177" fontId="6" fillId="0" borderId="14" xfId="1" applyNumberFormat="1" applyFont="1" applyBorder="1" applyAlignment="1">
      <alignment vertical="center" wrapText="1"/>
    </xf>
    <xf numFmtId="0" fontId="0" fillId="0" borderId="8" xfId="0" applyBorder="1"/>
    <xf numFmtId="176" fontId="6" fillId="0" borderId="14" xfId="0" applyNumberFormat="1" applyFont="1" applyBorder="1" applyAlignment="1">
      <alignment wrapText="1"/>
    </xf>
    <xf numFmtId="176" fontId="6" fillId="0" borderId="14" xfId="1" applyFont="1" applyBorder="1" applyAlignment="1">
      <alignment wrapText="1"/>
    </xf>
    <xf numFmtId="0" fontId="7" fillId="0" borderId="9" xfId="0" applyFont="1" applyBorder="1" applyAlignment="1">
      <alignment horizontal="center"/>
    </xf>
    <xf numFmtId="177" fontId="7" fillId="2" borderId="15" xfId="0" applyNumberFormat="1" applyFont="1" applyFill="1" applyBorder="1"/>
    <xf numFmtId="58" fontId="9" fillId="2" borderId="9" xfId="0" applyNumberFormat="1" applyFont="1" applyFill="1" applyBorder="1" applyAlignment="1">
      <alignment horizontal="center" vertical="center"/>
    </xf>
    <xf numFmtId="177" fontId="0" fillId="0" borderId="0" xfId="1" applyNumberFormat="1" applyFont="1"/>
    <xf numFmtId="177" fontId="0" fillId="0" borderId="0" xfId="0" applyNumberFormat="1"/>
    <xf numFmtId="0" fontId="10" fillId="0" borderId="0" xfId="0" applyFont="1" applyAlignment="1">
      <alignment horizontal="center"/>
    </xf>
    <xf numFmtId="0" fontId="0" fillId="0" borderId="16" xfId="0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wrapText="1"/>
    </xf>
    <xf numFmtId="179" fontId="6" fillId="0" borderId="4" xfId="3" applyNumberFormat="1" applyFont="1" applyBorder="1" applyAlignment="1">
      <alignment vertical="center" wrapText="1"/>
    </xf>
    <xf numFmtId="9" fontId="7" fillId="2" borderId="6" xfId="3" applyFont="1" applyFill="1" applyBorder="1"/>
    <xf numFmtId="58" fontId="7" fillId="2" borderId="9" xfId="0" applyNumberFormat="1" applyFont="1" applyFill="1" applyBorder="1" applyAlignment="1">
      <alignment horizontal="left" vertical="center"/>
    </xf>
    <xf numFmtId="0" fontId="10" fillId="0" borderId="0" xfId="0" applyFont="1" applyAlignment="1"/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/>
    <xf numFmtId="177" fontId="2" fillId="0" borderId="0" xfId="1" applyNumberFormat="1" applyFont="1"/>
    <xf numFmtId="58" fontId="11" fillId="0" borderId="0" xfId="0" applyNumberFormat="1" applyFont="1"/>
    <xf numFmtId="177" fontId="11" fillId="0" borderId="0" xfId="1" applyNumberFormat="1" applyFont="1"/>
    <xf numFmtId="0" fontId="12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177" fontId="13" fillId="0" borderId="2" xfId="1" applyNumberFormat="1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177" fontId="13" fillId="0" borderId="6" xfId="1" applyNumberFormat="1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13" fillId="0" borderId="4" xfId="0" applyFont="1" applyBorder="1" applyAlignment="1">
      <alignment horizontal="left" vertical="center" wrapText="1"/>
    </xf>
    <xf numFmtId="177" fontId="14" fillId="0" borderId="4" xfId="1" applyNumberFormat="1" applyFont="1" applyBorder="1"/>
    <xf numFmtId="0" fontId="13" fillId="0" borderId="19" xfId="0" applyFont="1" applyBorder="1" applyAlignment="1">
      <alignment horizontal="left" vertical="center" wrapText="1"/>
    </xf>
    <xf numFmtId="177" fontId="14" fillId="0" borderId="19" xfId="1" applyNumberFormat="1" applyFont="1" applyBorder="1"/>
    <xf numFmtId="0" fontId="13" fillId="0" borderId="6" xfId="0" applyFont="1" applyBorder="1" applyAlignment="1">
      <alignment horizontal="left" vertical="center" wrapText="1"/>
    </xf>
    <xf numFmtId="177" fontId="14" fillId="0" borderId="6" xfId="1" applyNumberFormat="1" applyFont="1" applyBorder="1"/>
    <xf numFmtId="0" fontId="2" fillId="0" borderId="0" xfId="0" applyFont="1" applyAlignment="1"/>
    <xf numFmtId="0" fontId="13" fillId="0" borderId="20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4" fillId="0" borderId="24" xfId="0" applyFont="1" applyBorder="1"/>
    <xf numFmtId="0" fontId="14" fillId="0" borderId="1" xfId="0" applyFont="1" applyBorder="1"/>
    <xf numFmtId="0" fontId="14" fillId="0" borderId="2" xfId="0" applyFont="1" applyBorder="1"/>
    <xf numFmtId="0" fontId="14" fillId="3" borderId="3" xfId="0" applyFont="1" applyFill="1" applyBorder="1"/>
    <xf numFmtId="0" fontId="14" fillId="3" borderId="4" xfId="0" applyFont="1" applyFill="1" applyBorder="1"/>
    <xf numFmtId="0" fontId="14" fillId="0" borderId="3" xfId="0" applyFont="1" applyBorder="1"/>
    <xf numFmtId="0" fontId="14" fillId="0" borderId="4" xfId="0" applyFont="1" applyBorder="1"/>
    <xf numFmtId="0" fontId="14" fillId="0" borderId="25" xfId="0" applyFont="1" applyBorder="1"/>
    <xf numFmtId="0" fontId="14" fillId="0" borderId="26" xfId="0" applyFont="1" applyBorder="1"/>
    <xf numFmtId="0" fontId="14" fillId="0" borderId="5" xfId="0" applyFont="1" applyBorder="1"/>
    <xf numFmtId="0" fontId="14" fillId="0" borderId="6" xfId="0" applyFont="1" applyBorder="1"/>
    <xf numFmtId="0" fontId="13" fillId="0" borderId="0" xfId="0" applyFont="1" applyAlignment="1">
      <alignment horizontal="right" vertical="center" wrapText="1"/>
    </xf>
    <xf numFmtId="0" fontId="14" fillId="4" borderId="2" xfId="0" applyFont="1" applyFill="1" applyBorder="1"/>
    <xf numFmtId="0" fontId="14" fillId="4" borderId="4" xfId="0" applyFont="1" applyFill="1" applyBorder="1"/>
    <xf numFmtId="1" fontId="14" fillId="4" borderId="2" xfId="0" applyNumberFormat="1" applyFont="1" applyFill="1" applyBorder="1" applyAlignment="1">
      <alignment textRotation="90"/>
    </xf>
    <xf numFmtId="0" fontId="14" fillId="3" borderId="6" xfId="0" applyFont="1" applyFill="1" applyBorder="1"/>
    <xf numFmtId="0" fontId="14" fillId="0" borderId="0" xfId="0" applyFont="1" applyAlignment="1">
      <alignment horizontal="center"/>
    </xf>
    <xf numFmtId="0" fontId="14" fillId="3" borderId="2" xfId="0" applyFont="1" applyFill="1" applyBorder="1"/>
    <xf numFmtId="0" fontId="15" fillId="0" borderId="27" xfId="0" applyFont="1" applyBorder="1" applyAlignment="1">
      <alignment horizontal="center" vertical="center" wrapText="1"/>
    </xf>
    <xf numFmtId="0" fontId="14" fillId="4" borderId="6" xfId="0" applyFont="1" applyFill="1" applyBorder="1"/>
    <xf numFmtId="0" fontId="15" fillId="0" borderId="28" xfId="0" applyFont="1" applyBorder="1" applyAlignment="1">
      <alignment horizontal="center" vertical="center" wrapText="1"/>
    </xf>
    <xf numFmtId="0" fontId="15" fillId="0" borderId="29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5" fillId="0" borderId="30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4" fillId="4" borderId="7" xfId="0" applyFont="1" applyFill="1" applyBorder="1"/>
    <xf numFmtId="0" fontId="14" fillId="4" borderId="8" xfId="0" applyFont="1" applyFill="1" applyBorder="1"/>
    <xf numFmtId="0" fontId="14" fillId="3" borderId="8" xfId="0" applyFont="1" applyFill="1" applyBorder="1"/>
    <xf numFmtId="0" fontId="14" fillId="0" borderId="8" xfId="0" applyFont="1" applyBorder="1"/>
    <xf numFmtId="0" fontId="14" fillId="0" borderId="9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136072</xdr:colOff>
      <xdr:row>14</xdr:row>
      <xdr:rowOff>136071</xdr:rowOff>
    </xdr:from>
    <xdr:to>
      <xdr:col>10</xdr:col>
      <xdr:colOff>402512</xdr:colOff>
      <xdr:row>18</xdr:row>
      <xdr:rowOff>110744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61855" y="7559675"/>
          <a:ext cx="2495550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AG17"/>
  <sheetViews>
    <sheetView tabSelected="1" zoomScale="75" zoomScaleNormal="75" zoomScalePageLayoutView="25" zoomScaleSheetLayoutView="70" workbookViewId="0">
      <selection activeCell="S11" sqref="S11"/>
    </sheetView>
  </sheetViews>
  <sheetFormatPr defaultColWidth="9" defaultRowHeight="14.4"/>
  <cols>
    <col min="1" max="1" width="4.859375" style="67" customWidth="1"/>
    <col min="2" max="2" width="37.5703125" style="68" customWidth="1"/>
    <col min="3" max="3" width="11.7109375" style="68" customWidth="1"/>
    <col min="4" max="4" width="8.5703125" style="69" customWidth="1"/>
    <col min="5" max="5" width="9.2890625" style="68" customWidth="1"/>
    <col min="6" max="33" width="5.5703125" style="68" customWidth="1"/>
    <col min="34" max="51" width="3.5703125" style="68" customWidth="1"/>
    <col min="52" max="16366" width="9.140625" style="68"/>
    <col min="16367" max="16384" width="9" style="68"/>
  </cols>
  <sheetData>
    <row r="2" ht="23.2" spans="2:4">
      <c r="B2" s="70" t="s">
        <v>0</v>
      </c>
      <c r="D2" s="71" t="s">
        <v>1</v>
      </c>
    </row>
    <row r="4" ht="37.5" customHeight="1" spans="1:33">
      <c r="A4" s="72" t="s">
        <v>2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</row>
    <row r="5" ht="15.75" customHeight="1" spans="1:33">
      <c r="A5" s="73"/>
      <c r="B5" s="73"/>
      <c r="C5" s="73"/>
      <c r="D5" s="73"/>
      <c r="E5" s="73"/>
      <c r="F5" s="88"/>
      <c r="G5" s="88"/>
      <c r="H5" s="88"/>
      <c r="I5" s="88"/>
      <c r="J5" s="88"/>
      <c r="K5" s="88"/>
      <c r="L5" s="105" t="s">
        <v>3</v>
      </c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</row>
    <row r="6" ht="54" customHeight="1" spans="1:33">
      <c r="A6" s="74" t="s">
        <v>4</v>
      </c>
      <c r="B6" s="75" t="s">
        <v>5</v>
      </c>
      <c r="C6" s="75" t="s">
        <v>6</v>
      </c>
      <c r="D6" s="76" t="s">
        <v>7</v>
      </c>
      <c r="E6" s="89" t="s">
        <v>8</v>
      </c>
      <c r="F6" s="90" t="s">
        <v>9</v>
      </c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112"/>
      <c r="Y6" s="114" t="s">
        <v>10</v>
      </c>
      <c r="Z6" s="115"/>
      <c r="AA6" s="115"/>
      <c r="AB6" s="115"/>
      <c r="AC6" s="115"/>
      <c r="AD6" s="115"/>
      <c r="AE6" s="115"/>
      <c r="AF6" s="115"/>
      <c r="AG6" s="118"/>
    </row>
    <row r="7" s="65" customFormat="1" ht="54" customHeight="1" spans="1:33">
      <c r="A7" s="77"/>
      <c r="B7" s="78"/>
      <c r="C7" s="78"/>
      <c r="D7" s="79"/>
      <c r="E7" s="92"/>
      <c r="F7" s="93">
        <v>12</v>
      </c>
      <c r="G7" s="93">
        <v>13</v>
      </c>
      <c r="H7" s="93">
        <v>14</v>
      </c>
      <c r="I7" s="93">
        <v>15</v>
      </c>
      <c r="J7" s="93">
        <v>16</v>
      </c>
      <c r="K7" s="93">
        <v>17</v>
      </c>
      <c r="L7" s="93">
        <v>18</v>
      </c>
      <c r="M7" s="93">
        <v>19</v>
      </c>
      <c r="N7" s="93">
        <v>20</v>
      </c>
      <c r="O7" s="93">
        <v>21</v>
      </c>
      <c r="P7" s="93">
        <v>22</v>
      </c>
      <c r="Q7" s="93">
        <v>23</v>
      </c>
      <c r="R7" s="93">
        <v>24</v>
      </c>
      <c r="S7" s="93">
        <v>25</v>
      </c>
      <c r="T7" s="93">
        <v>26</v>
      </c>
      <c r="U7" s="93">
        <v>27</v>
      </c>
      <c r="V7" s="93">
        <v>28</v>
      </c>
      <c r="W7" s="93">
        <v>29</v>
      </c>
      <c r="X7" s="93">
        <v>30</v>
      </c>
      <c r="Y7" s="116">
        <v>1</v>
      </c>
      <c r="Z7" s="116">
        <v>2</v>
      </c>
      <c r="AA7" s="116">
        <v>3</v>
      </c>
      <c r="AB7" s="116">
        <v>4</v>
      </c>
      <c r="AC7" s="116">
        <v>5</v>
      </c>
      <c r="AD7" s="116">
        <v>6</v>
      </c>
      <c r="AE7" s="116">
        <v>7</v>
      </c>
      <c r="AF7" s="117">
        <v>8</v>
      </c>
      <c r="AG7" s="119">
        <v>9</v>
      </c>
    </row>
    <row r="8" s="66" customFormat="1" ht="21.75" customHeight="1" spans="1:33">
      <c r="A8" s="80" t="s">
        <v>11</v>
      </c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</row>
    <row r="9" ht="65.25" customHeight="1" spans="1:33">
      <c r="A9" s="6">
        <v>1</v>
      </c>
      <c r="B9" s="82" t="s">
        <v>12</v>
      </c>
      <c r="C9" s="83" t="s">
        <v>13</v>
      </c>
      <c r="D9" s="83">
        <v>800</v>
      </c>
      <c r="E9" s="94">
        <v>5</v>
      </c>
      <c r="F9" s="95"/>
      <c r="G9" s="96"/>
      <c r="H9" s="96"/>
      <c r="I9" s="96"/>
      <c r="J9" s="96"/>
      <c r="K9" s="106"/>
      <c r="L9" s="106"/>
      <c r="M9" s="106"/>
      <c r="N9" s="106"/>
      <c r="O9" s="108"/>
      <c r="P9" s="106"/>
      <c r="Q9" s="106"/>
      <c r="R9" s="106"/>
      <c r="S9" s="106"/>
      <c r="T9" s="111">
        <v>160</v>
      </c>
      <c r="U9" s="111">
        <v>160</v>
      </c>
      <c r="V9" s="111">
        <v>160</v>
      </c>
      <c r="W9" s="111">
        <v>160</v>
      </c>
      <c r="X9" s="111">
        <v>160</v>
      </c>
      <c r="Y9" s="106"/>
      <c r="Z9" s="106"/>
      <c r="AA9" s="106"/>
      <c r="AB9" s="106"/>
      <c r="AC9" s="106"/>
      <c r="AD9" s="106"/>
      <c r="AE9" s="106"/>
      <c r="AF9" s="106"/>
      <c r="AG9" s="120"/>
    </row>
    <row r="10" ht="65.25" customHeight="1" spans="1:33">
      <c r="A10" s="6">
        <v>2</v>
      </c>
      <c r="B10" s="82" t="s">
        <v>14</v>
      </c>
      <c r="C10" s="83" t="s">
        <v>15</v>
      </c>
      <c r="D10" s="83">
        <v>1760</v>
      </c>
      <c r="E10" s="94">
        <v>20</v>
      </c>
      <c r="F10" s="97">
        <v>88</v>
      </c>
      <c r="G10" s="98">
        <v>88</v>
      </c>
      <c r="H10" s="98">
        <v>88</v>
      </c>
      <c r="I10" s="98">
        <v>88</v>
      </c>
      <c r="J10" s="98">
        <v>88</v>
      </c>
      <c r="K10" s="98">
        <v>88</v>
      </c>
      <c r="L10" s="98">
        <v>88</v>
      </c>
      <c r="M10" s="98">
        <v>88</v>
      </c>
      <c r="N10" s="98">
        <v>88</v>
      </c>
      <c r="O10" s="98">
        <v>88</v>
      </c>
      <c r="P10" s="98">
        <v>88</v>
      </c>
      <c r="Q10" s="98">
        <v>88</v>
      </c>
      <c r="R10" s="98">
        <v>88</v>
      </c>
      <c r="S10" s="98">
        <v>88</v>
      </c>
      <c r="T10" s="98">
        <v>88</v>
      </c>
      <c r="U10" s="98">
        <v>88</v>
      </c>
      <c r="V10" s="98">
        <v>88</v>
      </c>
      <c r="W10" s="98">
        <v>88</v>
      </c>
      <c r="X10" s="98">
        <v>88</v>
      </c>
      <c r="Y10" s="98">
        <v>88</v>
      </c>
      <c r="Z10" s="107"/>
      <c r="AA10" s="107"/>
      <c r="AB10" s="107"/>
      <c r="AC10" s="107"/>
      <c r="AD10" s="107"/>
      <c r="AE10" s="107"/>
      <c r="AF10" s="107"/>
      <c r="AG10" s="121"/>
    </row>
    <row r="11" ht="65.25" customHeight="1" spans="1:33">
      <c r="A11" s="6">
        <v>3</v>
      </c>
      <c r="B11" s="82" t="s">
        <v>16</v>
      </c>
      <c r="C11" s="83" t="s">
        <v>15</v>
      </c>
      <c r="D11" s="83">
        <v>320</v>
      </c>
      <c r="E11" s="94">
        <v>10</v>
      </c>
      <c r="F11" s="99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98">
        <v>32</v>
      </c>
      <c r="Y11" s="98">
        <v>32</v>
      </c>
      <c r="Z11" s="98">
        <v>32</v>
      </c>
      <c r="AA11" s="98">
        <v>32</v>
      </c>
      <c r="AB11" s="98">
        <v>32</v>
      </c>
      <c r="AC11" s="98">
        <v>32</v>
      </c>
      <c r="AD11" s="98">
        <v>32</v>
      </c>
      <c r="AE11" s="98">
        <v>32</v>
      </c>
      <c r="AF11" s="98">
        <v>32</v>
      </c>
      <c r="AG11" s="122">
        <v>32</v>
      </c>
    </row>
    <row r="12" ht="65.25" customHeight="1" spans="1:33">
      <c r="A12" s="6">
        <v>4</v>
      </c>
      <c r="B12" s="82" t="s">
        <v>17</v>
      </c>
      <c r="C12" s="83" t="s">
        <v>13</v>
      </c>
      <c r="D12" s="83">
        <v>600</v>
      </c>
      <c r="E12" s="94">
        <v>5</v>
      </c>
      <c r="F12" s="99"/>
      <c r="G12" s="100"/>
      <c r="H12" s="98">
        <v>120</v>
      </c>
      <c r="I12" s="98">
        <v>120</v>
      </c>
      <c r="J12" s="98">
        <v>120</v>
      </c>
      <c r="K12" s="98">
        <v>120</v>
      </c>
      <c r="L12" s="98">
        <v>120</v>
      </c>
      <c r="M12" s="107"/>
      <c r="N12" s="107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23"/>
    </row>
    <row r="13" ht="65.25" customHeight="1" spans="1:33">
      <c r="A13" s="6">
        <v>5</v>
      </c>
      <c r="B13" s="84" t="s">
        <v>18</v>
      </c>
      <c r="C13" s="85" t="s">
        <v>19</v>
      </c>
      <c r="D13" s="85">
        <v>350</v>
      </c>
      <c r="E13" s="101">
        <v>8</v>
      </c>
      <c r="F13" s="99"/>
      <c r="G13" s="100"/>
      <c r="H13" s="100"/>
      <c r="I13" s="107"/>
      <c r="J13" s="107"/>
      <c r="K13" s="107"/>
      <c r="L13" s="107"/>
      <c r="M13" s="107"/>
      <c r="N13" s="107"/>
      <c r="O13" s="107"/>
      <c r="P13" s="100"/>
      <c r="Q13" s="100"/>
      <c r="R13" s="100"/>
      <c r="S13" s="100"/>
      <c r="T13" s="98">
        <v>44</v>
      </c>
      <c r="U13" s="98">
        <v>44</v>
      </c>
      <c r="V13" s="98">
        <v>44</v>
      </c>
      <c r="W13" s="98">
        <v>44</v>
      </c>
      <c r="X13" s="98">
        <v>44</v>
      </c>
      <c r="Y13" s="98">
        <v>44</v>
      </c>
      <c r="Z13" s="98">
        <v>44</v>
      </c>
      <c r="AA13" s="98">
        <v>42</v>
      </c>
      <c r="AB13" s="100"/>
      <c r="AC13" s="100"/>
      <c r="AD13" s="100"/>
      <c r="AE13" s="100"/>
      <c r="AF13" s="100"/>
      <c r="AG13" s="123"/>
    </row>
    <row r="14" ht="65.25" customHeight="1" spans="1:33">
      <c r="A14" s="6">
        <v>6</v>
      </c>
      <c r="B14" s="86" t="s">
        <v>20</v>
      </c>
      <c r="C14" s="87" t="s">
        <v>13</v>
      </c>
      <c r="D14" s="87">
        <v>1467</v>
      </c>
      <c r="E14" s="102">
        <v>10</v>
      </c>
      <c r="F14" s="103"/>
      <c r="G14" s="104"/>
      <c r="H14" s="104"/>
      <c r="I14" s="104"/>
      <c r="J14" s="104"/>
      <c r="K14" s="104"/>
      <c r="L14" s="104"/>
      <c r="M14" s="109">
        <v>163</v>
      </c>
      <c r="N14" s="109">
        <v>163</v>
      </c>
      <c r="O14" s="109">
        <v>163</v>
      </c>
      <c r="P14" s="109">
        <v>163</v>
      </c>
      <c r="Q14" s="109">
        <v>163</v>
      </c>
      <c r="R14" s="109">
        <v>163</v>
      </c>
      <c r="S14" s="109">
        <v>163</v>
      </c>
      <c r="T14" s="109">
        <v>163</v>
      </c>
      <c r="U14" s="109">
        <v>163</v>
      </c>
      <c r="V14" s="113"/>
      <c r="W14" s="113"/>
      <c r="X14" s="113"/>
      <c r="Y14" s="104"/>
      <c r="Z14" s="104"/>
      <c r="AA14" s="104"/>
      <c r="AB14" s="104"/>
      <c r="AC14" s="104"/>
      <c r="AD14" s="104"/>
      <c r="AE14" s="104"/>
      <c r="AF14" s="104"/>
      <c r="AG14" s="124"/>
    </row>
    <row r="17" ht="27" customHeight="1" spans="13:33">
      <c r="M17" s="110" t="s">
        <v>21</v>
      </c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64"/>
      <c r="AF17" s="64"/>
      <c r="AG17" s="64"/>
    </row>
  </sheetData>
  <mergeCells count="11">
    <mergeCell ref="A4:AG4"/>
    <mergeCell ref="L5:AG5"/>
    <mergeCell ref="F6:X6"/>
    <mergeCell ref="Y6:AG6"/>
    <mergeCell ref="A8:AG8"/>
    <mergeCell ref="M17:AD17"/>
    <mergeCell ref="A6:A7"/>
    <mergeCell ref="B6:B7"/>
    <mergeCell ref="C6:C7"/>
    <mergeCell ref="D6:D7"/>
    <mergeCell ref="E6:E7"/>
  </mergeCells>
  <pageMargins left="0.25" right="0.25" top="0.75" bottom="0.75" header="0.3" footer="0.3"/>
  <pageSetup paperSize="9" scale="55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A17"/>
  <sheetViews>
    <sheetView zoomScale="70" zoomScaleNormal="70" topLeftCell="A7" workbookViewId="0">
      <selection activeCell="F17" sqref="F17:M17"/>
    </sheetView>
  </sheetViews>
  <sheetFormatPr defaultColWidth="9" defaultRowHeight="16.8"/>
  <cols>
    <col min="1" max="1" width="3" customWidth="1"/>
    <col min="2" max="2" width="32.4296875" customWidth="1"/>
    <col min="3" max="3" width="11.5703125" customWidth="1"/>
    <col min="4" max="4" width="12.4296875" customWidth="1"/>
    <col min="5" max="5" width="16.2890625" customWidth="1"/>
    <col min="6" max="6" width="16" customWidth="1"/>
    <col min="7" max="7" width="12.7109375" customWidth="1"/>
    <col min="8" max="8" width="14" customWidth="1"/>
    <col min="9" max="9" width="13.140625" customWidth="1"/>
    <col min="10" max="10" width="14.2890625" customWidth="1"/>
    <col min="11" max="11" width="14" customWidth="1"/>
    <col min="12" max="12" width="13.140625" customWidth="1"/>
    <col min="13" max="13" width="11.2890625" customWidth="1"/>
  </cols>
  <sheetData>
    <row r="1" spans="2:13">
      <c r="B1" s="21" t="s">
        <v>22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ht="36.75" customHeight="1" spans="2:13"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3" ht="38.25" customHeight="1" spans="10:13">
      <c r="J3" s="57" t="s">
        <v>3</v>
      </c>
      <c r="K3" s="57"/>
      <c r="L3" s="57"/>
      <c r="M3" s="57"/>
    </row>
    <row r="4" ht="35.25" customHeight="1" spans="1:13">
      <c r="A4" s="22" t="s">
        <v>4</v>
      </c>
      <c r="B4" s="23" t="s">
        <v>23</v>
      </c>
      <c r="C4" s="23" t="s">
        <v>24</v>
      </c>
      <c r="D4" s="23" t="s">
        <v>25</v>
      </c>
      <c r="E4" s="33" t="s">
        <v>26</v>
      </c>
      <c r="F4" s="34" t="s">
        <v>27</v>
      </c>
      <c r="G4" s="33"/>
      <c r="H4" s="34" t="s">
        <v>28</v>
      </c>
      <c r="I4" s="58"/>
      <c r="J4" s="33"/>
      <c r="K4" s="34" t="s">
        <v>29</v>
      </c>
      <c r="L4" s="58"/>
      <c r="M4" s="33"/>
    </row>
    <row r="5" ht="52.5" customHeight="1" spans="1:13">
      <c r="A5" s="24"/>
      <c r="B5" s="25"/>
      <c r="C5" s="25"/>
      <c r="D5" s="25"/>
      <c r="E5" s="35"/>
      <c r="F5" s="36" t="s">
        <v>30</v>
      </c>
      <c r="G5" s="35" t="s">
        <v>31</v>
      </c>
      <c r="H5" s="36" t="s">
        <v>30</v>
      </c>
      <c r="I5" s="59" t="s">
        <v>32</v>
      </c>
      <c r="J5" s="35" t="s">
        <v>33</v>
      </c>
      <c r="K5" s="36" t="s">
        <v>30</v>
      </c>
      <c r="L5" s="59" t="s">
        <v>32</v>
      </c>
      <c r="M5" s="35" t="s">
        <v>33</v>
      </c>
    </row>
    <row r="6" ht="19.5" customHeight="1" spans="1:13">
      <c r="A6" s="26"/>
      <c r="B6" s="27" t="s">
        <v>34</v>
      </c>
      <c r="C6" s="27"/>
      <c r="D6" s="27"/>
      <c r="E6" s="37">
        <v>1270424616</v>
      </c>
      <c r="F6" s="38"/>
      <c r="G6" s="39"/>
      <c r="H6" s="40"/>
      <c r="I6" s="60"/>
      <c r="J6" s="43"/>
      <c r="K6" s="40"/>
      <c r="L6" s="60"/>
      <c r="M6" s="43"/>
    </row>
    <row r="7" ht="52.5" customHeight="1" spans="1:13">
      <c r="A7" s="28">
        <v>1</v>
      </c>
      <c r="B7" s="7" t="s">
        <v>35</v>
      </c>
      <c r="C7" s="29">
        <v>9396</v>
      </c>
      <c r="D7" s="30">
        <v>680.41</v>
      </c>
      <c r="E7" s="41">
        <v>6393139.21</v>
      </c>
      <c r="F7" s="42">
        <f>+E7</f>
        <v>6393139.21</v>
      </c>
      <c r="G7" s="43"/>
      <c r="H7" s="44"/>
      <c r="I7" s="60"/>
      <c r="J7" s="43"/>
      <c r="K7" s="40"/>
      <c r="L7" s="60"/>
      <c r="M7" s="43"/>
    </row>
    <row r="8" ht="52.5" customHeight="1" spans="1:13">
      <c r="A8" s="28">
        <v>2</v>
      </c>
      <c r="B8" s="7" t="s">
        <v>36</v>
      </c>
      <c r="C8" s="29">
        <v>2790</v>
      </c>
      <c r="D8" s="30">
        <v>18833.04</v>
      </c>
      <c r="E8" s="41">
        <v>52544193.7</v>
      </c>
      <c r="F8" s="42">
        <f>+E8</f>
        <v>52544193.7</v>
      </c>
      <c r="G8" s="43"/>
      <c r="H8" s="44"/>
      <c r="I8" s="60"/>
      <c r="J8" s="43"/>
      <c r="K8" s="40"/>
      <c r="L8" s="60"/>
      <c r="M8" s="43"/>
    </row>
    <row r="9" ht="52.5" customHeight="1" spans="1:13">
      <c r="A9" s="28">
        <v>3</v>
      </c>
      <c r="B9" s="7" t="s">
        <v>12</v>
      </c>
      <c r="C9" s="29">
        <v>3200</v>
      </c>
      <c r="D9" s="30">
        <v>74047.32</v>
      </c>
      <c r="E9" s="41">
        <v>236951410.53</v>
      </c>
      <c r="F9" s="45">
        <v>200452177</v>
      </c>
      <c r="G9" s="43"/>
      <c r="H9" s="42">
        <f>+E9-F9</f>
        <v>36499233.53</v>
      </c>
      <c r="I9" s="60"/>
      <c r="J9" s="43"/>
      <c r="K9" s="44">
        <f>+E9-F9-H9</f>
        <v>0</v>
      </c>
      <c r="L9" s="60"/>
      <c r="M9" s="43"/>
    </row>
    <row r="10" ht="52.5" customHeight="1" spans="1:13">
      <c r="A10" s="28">
        <v>4</v>
      </c>
      <c r="B10" s="7" t="s">
        <v>14</v>
      </c>
      <c r="C10" s="29">
        <v>1860</v>
      </c>
      <c r="D10" s="30">
        <v>458493.5475343</v>
      </c>
      <c r="E10" s="41">
        <v>852797998.413842</v>
      </c>
      <c r="F10" s="40"/>
      <c r="G10" s="43"/>
      <c r="H10" s="45">
        <v>471670613</v>
      </c>
      <c r="I10" s="60"/>
      <c r="J10" s="43"/>
      <c r="K10" s="42">
        <f>+E10-H10</f>
        <v>381127385.413842</v>
      </c>
      <c r="L10" s="60"/>
      <c r="M10" s="43"/>
    </row>
    <row r="11" ht="52.5" customHeight="1" spans="1:13">
      <c r="A11" s="28">
        <v>5</v>
      </c>
      <c r="B11" s="7" t="s">
        <v>16</v>
      </c>
      <c r="C11" s="29">
        <v>320</v>
      </c>
      <c r="D11" s="30">
        <v>23034.45</v>
      </c>
      <c r="E11" s="41">
        <v>7371025.02</v>
      </c>
      <c r="F11" s="42">
        <f>+E11</f>
        <v>7371025.02</v>
      </c>
      <c r="G11" s="46"/>
      <c r="H11" s="47"/>
      <c r="I11" s="61"/>
      <c r="J11" s="46"/>
      <c r="K11" s="47"/>
      <c r="L11" s="61"/>
      <c r="M11" s="46"/>
    </row>
    <row r="12" ht="52.5" customHeight="1" spans="1:13">
      <c r="A12" s="28">
        <v>6</v>
      </c>
      <c r="B12" s="7" t="s">
        <v>17</v>
      </c>
      <c r="C12" s="29">
        <v>1467</v>
      </c>
      <c r="D12" s="30">
        <v>3135.75</v>
      </c>
      <c r="E12" s="41">
        <v>4600150.41</v>
      </c>
      <c r="F12" s="42">
        <f>+E12</f>
        <v>4600150.41</v>
      </c>
      <c r="G12" s="48"/>
      <c r="H12" s="49"/>
      <c r="I12" s="61"/>
      <c r="J12" s="46"/>
      <c r="K12" s="38"/>
      <c r="L12" s="61"/>
      <c r="M12" s="46"/>
    </row>
    <row r="13" ht="52.5" customHeight="1" spans="1:13">
      <c r="A13" s="28">
        <v>7</v>
      </c>
      <c r="B13" s="7" t="s">
        <v>37</v>
      </c>
      <c r="C13" s="29">
        <v>1467</v>
      </c>
      <c r="D13" s="30">
        <v>74823.93</v>
      </c>
      <c r="E13" s="41">
        <v>109766699.2</v>
      </c>
      <c r="F13" s="42">
        <f>+E13</f>
        <v>109766699.2</v>
      </c>
      <c r="G13" s="43"/>
      <c r="H13" s="50"/>
      <c r="I13" s="61"/>
      <c r="J13" s="46"/>
      <c r="K13" s="38"/>
      <c r="L13" s="61"/>
      <c r="M13" s="46"/>
    </row>
    <row r="14" ht="18" customHeight="1" spans="1:13">
      <c r="A14" s="31"/>
      <c r="B14" s="32" t="s">
        <v>38</v>
      </c>
      <c r="C14" s="32"/>
      <c r="D14" s="32"/>
      <c r="E14" s="51"/>
      <c r="F14" s="52">
        <f>+E6*0.3</f>
        <v>381127384.8</v>
      </c>
      <c r="G14" s="53">
        <v>45752</v>
      </c>
      <c r="H14" s="52">
        <f>+E6*0.4</f>
        <v>508169846.4</v>
      </c>
      <c r="I14" s="62">
        <v>0.4</v>
      </c>
      <c r="J14" s="63">
        <v>45778</v>
      </c>
      <c r="K14" s="52">
        <f>+E6*0.3</f>
        <v>381127384.8</v>
      </c>
      <c r="L14" s="62">
        <v>0.3</v>
      </c>
      <c r="M14" s="63">
        <v>45813</v>
      </c>
    </row>
    <row r="15" spans="5:11">
      <c r="E15" s="54"/>
      <c r="F15" s="54"/>
      <c r="H15" s="55"/>
      <c r="K15" s="55"/>
    </row>
    <row r="16" spans="6:11">
      <c r="F16" s="55"/>
      <c r="H16" s="55"/>
      <c r="K16" s="55"/>
    </row>
    <row r="17" ht="17.6" spans="6:27">
      <c r="F17" s="56" t="s">
        <v>39</v>
      </c>
      <c r="G17" s="56"/>
      <c r="H17" s="56"/>
      <c r="I17" s="56"/>
      <c r="J17" s="56"/>
      <c r="K17" s="56"/>
      <c r="L17" s="56"/>
      <c r="M17" s="56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</row>
  </sheetData>
  <mergeCells count="12">
    <mergeCell ref="J3:M3"/>
    <mergeCell ref="F4:G4"/>
    <mergeCell ref="H4:J4"/>
    <mergeCell ref="K4:M4"/>
    <mergeCell ref="B14:E14"/>
    <mergeCell ref="F17:M17"/>
    <mergeCell ref="A4:A6"/>
    <mergeCell ref="B4:B5"/>
    <mergeCell ref="C4:C5"/>
    <mergeCell ref="D4:D5"/>
    <mergeCell ref="E4:E5"/>
    <mergeCell ref="B1:M2"/>
  </mergeCells>
  <pageMargins left="0.7" right="0.7" top="0.75" bottom="0.75" header="0.3" footer="0.3"/>
  <pageSetup paperSize="9" scale="62" orientation="landscape" horizontalDpi="360" verticalDpi="36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21"/>
  <sheetViews>
    <sheetView topLeftCell="A13" workbookViewId="0">
      <selection activeCell="A1" sqref="A1:E3"/>
    </sheetView>
  </sheetViews>
  <sheetFormatPr defaultColWidth="9" defaultRowHeight="16.8" outlineLevelCol="4"/>
  <cols>
    <col min="1" max="1" width="3.140625" customWidth="1"/>
    <col min="2" max="2" width="26.859375" customWidth="1"/>
    <col min="3" max="4" width="16.4296875" customWidth="1"/>
    <col min="5" max="5" width="22.4296875" customWidth="1"/>
  </cols>
  <sheetData>
    <row r="1" ht="15" customHeight="1" spans="1:5">
      <c r="A1" s="17" t="s">
        <v>40</v>
      </c>
      <c r="B1" s="17"/>
      <c r="C1" s="17"/>
      <c r="D1" s="17"/>
      <c r="E1" s="17"/>
    </row>
    <row r="2" ht="8.25" customHeight="1" spans="1:5">
      <c r="A2" s="17"/>
      <c r="B2" s="17"/>
      <c r="C2" s="17"/>
      <c r="D2" s="17"/>
      <c r="E2" s="17"/>
    </row>
    <row r="3" ht="27" customHeight="1" spans="1:5">
      <c r="A3" s="17"/>
      <c r="B3" s="17"/>
      <c r="C3" s="17"/>
      <c r="D3" s="17"/>
      <c r="E3" s="17"/>
    </row>
    <row r="4" ht="27.75" customHeight="1" spans="5:5">
      <c r="E4" s="16" t="s">
        <v>41</v>
      </c>
    </row>
    <row r="5" s="16" customFormat="1" ht="39.75" customHeight="1" spans="1:5">
      <c r="A5" s="18" t="s">
        <v>4</v>
      </c>
      <c r="B5" s="18" t="s">
        <v>42</v>
      </c>
      <c r="C5" s="18" t="s">
        <v>43</v>
      </c>
      <c r="D5" s="19" t="s">
        <v>44</v>
      </c>
      <c r="E5" s="18" t="s">
        <v>45</v>
      </c>
    </row>
    <row r="6" ht="24" customHeight="1" spans="1:5">
      <c r="A6" s="20">
        <v>1</v>
      </c>
      <c r="B6" s="20" t="s">
        <v>46</v>
      </c>
      <c r="C6" s="20" t="s">
        <v>47</v>
      </c>
      <c r="D6" s="20">
        <v>12</v>
      </c>
      <c r="E6" s="20" t="s">
        <v>48</v>
      </c>
    </row>
    <row r="7" ht="24" customHeight="1" spans="1:5">
      <c r="A7" s="20">
        <v>2</v>
      </c>
      <c r="B7" s="20" t="s">
        <v>49</v>
      </c>
      <c r="C7" s="20" t="s">
        <v>50</v>
      </c>
      <c r="D7" s="20">
        <v>8</v>
      </c>
      <c r="E7" s="20" t="s">
        <v>48</v>
      </c>
    </row>
    <row r="8" ht="24" customHeight="1" spans="1:5">
      <c r="A8" s="20">
        <v>3</v>
      </c>
      <c r="B8" s="20" t="s">
        <v>51</v>
      </c>
      <c r="C8" s="20" t="s">
        <v>52</v>
      </c>
      <c r="D8" s="20">
        <v>6</v>
      </c>
      <c r="E8" s="20" t="s">
        <v>48</v>
      </c>
    </row>
    <row r="9" ht="24" customHeight="1" spans="1:5">
      <c r="A9" s="20">
        <v>4</v>
      </c>
      <c r="B9" s="20" t="s">
        <v>53</v>
      </c>
      <c r="C9" s="20" t="s">
        <v>54</v>
      </c>
      <c r="D9" s="20">
        <v>15</v>
      </c>
      <c r="E9" s="20" t="s">
        <v>55</v>
      </c>
    </row>
    <row r="10" ht="24" customHeight="1" spans="1:5">
      <c r="A10" s="20">
        <v>5</v>
      </c>
      <c r="B10" s="20" t="s">
        <v>56</v>
      </c>
      <c r="C10" s="20" t="s">
        <v>57</v>
      </c>
      <c r="D10" s="20">
        <v>3</v>
      </c>
      <c r="E10" s="20" t="s">
        <v>58</v>
      </c>
    </row>
    <row r="11" ht="24" customHeight="1" spans="1:5">
      <c r="A11" s="20">
        <v>6</v>
      </c>
      <c r="B11" s="20" t="s">
        <v>59</v>
      </c>
      <c r="C11" s="20" t="s">
        <v>60</v>
      </c>
      <c r="D11" s="20">
        <v>12</v>
      </c>
      <c r="E11" s="20" t="s">
        <v>58</v>
      </c>
    </row>
    <row r="12" ht="24" customHeight="1" spans="1:5">
      <c r="A12" s="20">
        <v>7</v>
      </c>
      <c r="B12" s="20" t="s">
        <v>61</v>
      </c>
      <c r="C12" s="20" t="s">
        <v>62</v>
      </c>
      <c r="D12" s="20">
        <v>6</v>
      </c>
      <c r="E12" s="20" t="s">
        <v>58</v>
      </c>
    </row>
    <row r="13" ht="24" customHeight="1" spans="1:5">
      <c r="A13" s="20"/>
      <c r="B13" s="20" t="s">
        <v>63</v>
      </c>
      <c r="C13" s="20" t="s">
        <v>64</v>
      </c>
      <c r="D13" s="20">
        <v>2</v>
      </c>
      <c r="E13" s="20" t="s">
        <v>58</v>
      </c>
    </row>
    <row r="14" ht="24" customHeight="1" spans="1:5">
      <c r="A14" s="20">
        <v>8</v>
      </c>
      <c r="B14" s="20" t="s">
        <v>65</v>
      </c>
      <c r="C14" s="20" t="s">
        <v>66</v>
      </c>
      <c r="D14" s="20">
        <v>13</v>
      </c>
      <c r="E14" s="20" t="s">
        <v>67</v>
      </c>
    </row>
    <row r="15" ht="24" customHeight="1" spans="1:5">
      <c r="A15" s="20">
        <v>9</v>
      </c>
      <c r="B15" s="20" t="s">
        <v>65</v>
      </c>
      <c r="C15" s="20" t="s">
        <v>68</v>
      </c>
      <c r="D15" s="20">
        <v>15</v>
      </c>
      <c r="E15" s="20" t="s">
        <v>67</v>
      </c>
    </row>
    <row r="16" ht="24" customHeight="1" spans="1:5">
      <c r="A16" s="20">
        <v>10</v>
      </c>
      <c r="B16" s="20" t="s">
        <v>69</v>
      </c>
      <c r="C16" s="20" t="s">
        <v>70</v>
      </c>
      <c r="D16" s="20">
        <v>6</v>
      </c>
      <c r="E16" s="20" t="s">
        <v>67</v>
      </c>
    </row>
    <row r="17" ht="24" customHeight="1" spans="1:5">
      <c r="A17" s="20">
        <v>11</v>
      </c>
      <c r="B17" s="20" t="s">
        <v>71</v>
      </c>
      <c r="C17" s="20" t="s">
        <v>72</v>
      </c>
      <c r="D17" s="20">
        <v>2</v>
      </c>
      <c r="E17" s="20" t="s">
        <v>73</v>
      </c>
    </row>
    <row r="18" ht="24" customHeight="1" spans="1:5">
      <c r="A18" s="20">
        <v>12</v>
      </c>
      <c r="B18" s="20" t="s">
        <v>71</v>
      </c>
      <c r="C18" s="20" t="s">
        <v>74</v>
      </c>
      <c r="D18" s="20">
        <v>2</v>
      </c>
      <c r="E18" s="20" t="s">
        <v>73</v>
      </c>
    </row>
    <row r="19" ht="24" customHeight="1" spans="1:5">
      <c r="A19" s="20">
        <v>13</v>
      </c>
      <c r="B19" s="20" t="s">
        <v>71</v>
      </c>
      <c r="C19" s="20" t="s">
        <v>75</v>
      </c>
      <c r="D19" s="20">
        <v>8</v>
      </c>
      <c r="E19" s="20" t="s">
        <v>73</v>
      </c>
    </row>
    <row r="20" ht="24" customHeight="1" spans="1:5">
      <c r="A20" s="20">
        <v>14</v>
      </c>
      <c r="B20" s="20" t="s">
        <v>71</v>
      </c>
      <c r="C20" s="20" t="s">
        <v>76</v>
      </c>
      <c r="D20" s="20">
        <v>3</v>
      </c>
      <c r="E20" s="20" t="s">
        <v>73</v>
      </c>
    </row>
    <row r="21" ht="24" customHeight="1" spans="1:5">
      <c r="A21" s="20">
        <v>15</v>
      </c>
      <c r="B21" s="20" t="s">
        <v>71</v>
      </c>
      <c r="C21" s="20" t="s">
        <v>77</v>
      </c>
      <c r="D21" s="20">
        <v>4</v>
      </c>
      <c r="E21" s="20" t="s">
        <v>73</v>
      </c>
    </row>
  </sheetData>
  <mergeCells count="1">
    <mergeCell ref="A1:E3"/>
  </mergeCells>
  <pageMargins left="0.7" right="0.7" top="0.75" bottom="0.75" header="0.3" footer="0.3"/>
  <pageSetup paperSize="1" scale="93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E12"/>
  <sheetViews>
    <sheetView workbookViewId="0">
      <selection activeCell="F10" sqref="F10"/>
    </sheetView>
  </sheetViews>
  <sheetFormatPr defaultColWidth="9" defaultRowHeight="16.8" outlineLevelCol="4"/>
  <cols>
    <col min="1" max="1" width="5.2890625" customWidth="1"/>
    <col min="2" max="2" width="4.859375" customWidth="1"/>
    <col min="3" max="3" width="60.4296875" customWidth="1"/>
    <col min="4" max="4" width="16.5703125" customWidth="1"/>
    <col min="5" max="5" width="17" customWidth="1"/>
  </cols>
  <sheetData>
    <row r="2" spans="1:3">
      <c r="A2" s="1" t="s">
        <v>78</v>
      </c>
      <c r="B2" s="1"/>
      <c r="C2" s="1"/>
    </row>
    <row r="3" ht="24.75" customHeight="1" spans="2:5">
      <c r="B3" s="2" t="s">
        <v>79</v>
      </c>
      <c r="C3" s="2"/>
      <c r="D3" s="2"/>
      <c r="E3" s="2"/>
    </row>
    <row r="4" ht="24.75" customHeight="1" spans="2:5">
      <c r="B4" s="2"/>
      <c r="C4" s="2"/>
      <c r="D4" s="2"/>
      <c r="E4" s="2"/>
    </row>
    <row r="5" ht="35.25" customHeight="1" spans="2:5">
      <c r="B5" s="3">
        <v>1</v>
      </c>
      <c r="C5" s="4" t="s">
        <v>12</v>
      </c>
      <c r="D5" s="5" t="s">
        <v>80</v>
      </c>
      <c r="E5" s="13">
        <v>3200</v>
      </c>
    </row>
    <row r="6" ht="35.25" customHeight="1" spans="2:5">
      <c r="B6" s="6">
        <v>2</v>
      </c>
      <c r="C6" s="7" t="s">
        <v>14</v>
      </c>
      <c r="D6" s="8" t="s">
        <v>15</v>
      </c>
      <c r="E6" s="14">
        <v>1860</v>
      </c>
    </row>
    <row r="7" ht="35.25" customHeight="1" spans="2:5">
      <c r="B7" s="9">
        <v>3</v>
      </c>
      <c r="C7" s="10" t="s">
        <v>16</v>
      </c>
      <c r="D7" s="11" t="s">
        <v>15</v>
      </c>
      <c r="E7" s="15">
        <v>320</v>
      </c>
    </row>
    <row r="10" spans="2:4">
      <c r="B10" s="12" t="s">
        <v>81</v>
      </c>
      <c r="D10" s="12" t="s">
        <v>82</v>
      </c>
    </row>
    <row r="11" ht="17" spans="2:2">
      <c r="B11" s="12" t="s">
        <v>83</v>
      </c>
    </row>
    <row r="12" ht="17" spans="2:4">
      <c r="B12" s="12" t="s">
        <v>84</v>
      </c>
      <c r="D12" s="1" t="s">
        <v>85</v>
      </c>
    </row>
  </sheetData>
  <mergeCells count="2">
    <mergeCell ref="A2:C2"/>
    <mergeCell ref="B3:E3"/>
  </mergeCells>
  <pageMargins left="0.7" right="0.7" top="0.75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graphic</vt:lpstr>
      <vt:lpstr>cash flow </vt:lpstr>
      <vt:lpstr>labor 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GanbatBattulga</cp:lastModifiedBy>
  <dcterms:created xsi:type="dcterms:W3CDTF">2024-05-23T19:19:00Z</dcterms:created>
  <cp:lastPrinted>2025-04-18T19:08:00Z</cp:lastPrinted>
  <dcterms:modified xsi:type="dcterms:W3CDTF">2025-06-12T17:05:58Z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F95EF83D3AF2DF627D704A681F8B4AA0_42</vt:lpwstr>
  </property>
  <property fmtid="{D5CDD505-2E9C-101B-9397-08002B2CF9AE}" pid="3" name="KSOProductBuildVer">
    <vt:lpwstr>1033-6.12.2.8699</vt:lpwstr>
  </property>
</Properties>
</file>